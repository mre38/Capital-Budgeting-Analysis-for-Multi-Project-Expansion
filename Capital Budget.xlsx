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MC\Desktop\CODING &amp; DESIGN JOURNEY\PROTFOLIO PROJECTS\"/>
    </mc:Choice>
  </mc:AlternateContent>
  <xr:revisionPtr revIDLastSave="0" documentId="13_ncr:1_{FE94E98D-A364-4F5F-A9EF-1C6EDE789196}" xr6:coauthVersionLast="47" xr6:coauthVersionMax="47" xr10:uidLastSave="{00000000-0000-0000-0000-000000000000}"/>
  <bookViews>
    <workbookView xWindow="-110" yWindow="-110" windowWidth="19420" windowHeight="11020" xr2:uid="{28CE11C7-F2B0-495D-A95B-0F6EAA9322D9}"/>
  </bookViews>
  <sheets>
    <sheet name="Capital Budget 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0" i="2" l="1"/>
  <c r="J66" i="2"/>
  <c r="J64" i="2"/>
  <c r="J46" i="2"/>
  <c r="J42" i="2"/>
  <c r="J40" i="2"/>
  <c r="J23" i="2"/>
  <c r="J19" i="2"/>
  <c r="J17" i="2"/>
  <c r="C60" i="2"/>
  <c r="N58" i="2"/>
  <c r="N57" i="2"/>
  <c r="N56" i="2"/>
  <c r="D56" i="2"/>
  <c r="D57" i="2" s="1"/>
  <c r="N55" i="2"/>
  <c r="C36" i="2"/>
  <c r="N35" i="2"/>
  <c r="N34" i="2"/>
  <c r="N33" i="2"/>
  <c r="N32" i="2"/>
  <c r="D32" i="2"/>
  <c r="D33" i="2" s="1"/>
  <c r="N31" i="2"/>
  <c r="C13" i="2"/>
  <c r="N9" i="2"/>
  <c r="N10" i="2"/>
  <c r="N11" i="2"/>
  <c r="N12" i="2"/>
  <c r="N13" i="2"/>
  <c r="N14" i="2"/>
  <c r="N8" i="2"/>
  <c r="D9" i="2"/>
  <c r="E9" i="2" s="1"/>
  <c r="E10" i="2" s="1"/>
  <c r="E56" i="2" l="1"/>
  <c r="F56" i="2" s="1"/>
  <c r="G56" i="2" s="1"/>
  <c r="G57" i="2" s="1"/>
  <c r="E32" i="2"/>
  <c r="E33" i="2" s="1"/>
  <c r="D35" i="2"/>
  <c r="D59" i="2"/>
  <c r="E12" i="2"/>
  <c r="F9" i="2"/>
  <c r="D10" i="2"/>
  <c r="D12" i="2" s="1"/>
  <c r="M8" i="2" s="1"/>
  <c r="O8" i="2" s="1"/>
  <c r="F57" i="2" l="1"/>
  <c r="E57" i="2"/>
  <c r="E35" i="2"/>
  <c r="M32" i="2" s="1"/>
  <c r="O32" i="2" s="1"/>
  <c r="F32" i="2"/>
  <c r="G32" i="2" s="1"/>
  <c r="D13" i="2"/>
  <c r="E13" i="2" s="1"/>
  <c r="D60" i="2"/>
  <c r="M55" i="2"/>
  <c r="O55" i="2" s="1"/>
  <c r="E59" i="2"/>
  <c r="D36" i="2"/>
  <c r="M31" i="2"/>
  <c r="O31" i="2" s="1"/>
  <c r="M9" i="2"/>
  <c r="O9" i="2" s="1"/>
  <c r="G9" i="2"/>
  <c r="F10" i="2"/>
  <c r="F12" i="2" s="1"/>
  <c r="M10" i="2" s="1"/>
  <c r="O10" i="2" s="1"/>
  <c r="E36" i="2" l="1"/>
  <c r="F33" i="2"/>
  <c r="F35" i="2" s="1"/>
  <c r="G33" i="2"/>
  <c r="G35" i="2" s="1"/>
  <c r="H32" i="2"/>
  <c r="H33" i="2" s="1"/>
  <c r="M56" i="2"/>
  <c r="O56" i="2" s="1"/>
  <c r="E60" i="2"/>
  <c r="F59" i="2"/>
  <c r="F13" i="2"/>
  <c r="H9" i="2"/>
  <c r="G10" i="2"/>
  <c r="G12" i="2" s="1"/>
  <c r="F36" i="2" l="1"/>
  <c r="G36" i="2" s="1"/>
  <c r="M33" i="2"/>
  <c r="O33" i="2" s="1"/>
  <c r="F60" i="2"/>
  <c r="M57" i="2"/>
  <c r="O57" i="2" s="1"/>
  <c r="G59" i="2"/>
  <c r="C66" i="2" s="1"/>
  <c r="M34" i="2"/>
  <c r="O34" i="2" s="1"/>
  <c r="H35" i="2"/>
  <c r="C42" i="2" s="1"/>
  <c r="M11" i="2"/>
  <c r="O11" i="2" s="1"/>
  <c r="G13" i="2"/>
  <c r="I9" i="2"/>
  <c r="H10" i="2"/>
  <c r="H12" i="2" s="1"/>
  <c r="G60" i="2" l="1"/>
  <c r="C68" i="2" s="1" a="1"/>
  <c r="C68" i="2" s="1"/>
  <c r="M58" i="2"/>
  <c r="O58" i="2" s="1"/>
  <c r="O59" i="2" s="1"/>
  <c r="C70" i="2" s="1"/>
  <c r="H36" i="2"/>
  <c r="C44" i="2" s="1" a="1"/>
  <c r="C44" i="2" s="1"/>
  <c r="M35" i="2"/>
  <c r="O35" i="2" s="1"/>
  <c r="O36" i="2" s="1"/>
  <c r="C46" i="2" s="1"/>
  <c r="M12" i="2"/>
  <c r="O12" i="2" s="1"/>
  <c r="H13" i="2"/>
  <c r="J9" i="2"/>
  <c r="I10" i="2"/>
  <c r="I12" i="2" s="1"/>
  <c r="C64" i="2" l="1"/>
  <c r="C40" i="2"/>
  <c r="M13" i="2"/>
  <c r="O13" i="2" s="1"/>
  <c r="I13" i="2"/>
  <c r="C21" i="2" s="1" a="1"/>
  <c r="C21" i="2" s="1"/>
  <c r="J10" i="2"/>
  <c r="J12" i="2" s="1"/>
  <c r="M14" i="2" s="1"/>
  <c r="O14" i="2" s="1"/>
  <c r="O15" i="2" s="1"/>
  <c r="C17" i="2" l="1"/>
  <c r="C23" i="2"/>
  <c r="J13" i="2"/>
  <c r="C19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<sst xmlns="http://schemas.openxmlformats.org/spreadsheetml/2006/main" count="102" uniqueCount="34">
  <si>
    <t xml:space="preserve"> </t>
  </si>
  <si>
    <t>Capital Budgeting Analysis</t>
  </si>
  <si>
    <t>Period</t>
  </si>
  <si>
    <t>Net Cash Flow</t>
  </si>
  <si>
    <t>Cumulative Cash Flow</t>
  </si>
  <si>
    <t>Discount Rate -&gt;</t>
  </si>
  <si>
    <t>NPV -&gt;</t>
  </si>
  <si>
    <t>IRR -&gt;</t>
  </si>
  <si>
    <t>Payback Period -&gt;</t>
  </si>
  <si>
    <t>Revenue Growth Rate -&gt;</t>
  </si>
  <si>
    <t>Revenue -&gt;</t>
  </si>
  <si>
    <t>Cash Inflow (Revenue)</t>
  </si>
  <si>
    <t>Cash Outflow (Variable Cost (50%))</t>
  </si>
  <si>
    <t>Cash Outflow (Fixed Cost)</t>
  </si>
  <si>
    <t>Profitability Index -&gt;</t>
  </si>
  <si>
    <t>Cash Outflow (Variable Cost (55%))</t>
  </si>
  <si>
    <t>Cash Outflow (Variable Cost (60%))</t>
  </si>
  <si>
    <t>FV</t>
  </si>
  <si>
    <t>Rate</t>
  </si>
  <si>
    <t>fv/(1+r)^n</t>
  </si>
  <si>
    <t>SUM -&gt;</t>
  </si>
  <si>
    <t>Accept:</t>
  </si>
  <si>
    <t>Reject:</t>
  </si>
  <si>
    <t>Maybe:</t>
  </si>
  <si>
    <t>NPV &gt; 0</t>
  </si>
  <si>
    <t>NPV &lt; 0</t>
  </si>
  <si>
    <t>IRR &gt; DR</t>
  </si>
  <si>
    <t>IRR &lt; DR</t>
  </si>
  <si>
    <t>PI &gt; 1</t>
  </si>
  <si>
    <t>PI &lt; 1</t>
  </si>
  <si>
    <t>Project A: Luxury Hotel</t>
  </si>
  <si>
    <t>Project B: Restaurant Chain</t>
  </si>
  <si>
    <t>Project C: Event Center</t>
  </si>
  <si>
    <t>Orion Hospitality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</si>
</sst>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(* #,##0_);_(* \(#,##0\);_(* &quot;-&quot;??_);_(@_)"/>
    <numFmt numFmtId="165" formatCode="_-* #,##0\ _€_-;\-* #,##0\ _€_-;_-* &quot;-&quot;??\ _€_-;_-@"/>
    <numFmt numFmtId="166" formatCode="0.000%"/>
    <numFmt numFmtId="167" formatCode="_-* #,##0.00_-;\-* #,##0.00_-;_-* &quot;-&quot;??_-;_-@"/>
    <numFmt numFmtId="168" formatCode="&quot;Year &quot;#"/>
    <numFmt numFmtId="169" formatCode="0.00_);\(0.00\)"/>
    <numFmt numFmtId="170" formatCode="0.00&quot; Years&quot;"/>
  </numFmts>
  <fonts count="15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24"/>
      <color theme="1"/>
      <name val="Calibri"/>
      <family val="2"/>
    </font>
    <font>
      <b/>
      <sz val="12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b/>
      <sz val="12"/>
      <color rgb="FF0432FF"/>
      <name val="Calibri"/>
      <family val="2"/>
    </font>
    <font>
      <b/>
      <sz val="10"/>
      <color theme="1"/>
      <name val="Aptos Narrow"/>
      <family val="2"/>
      <scheme val="minor"/>
    </font>
    <font>
      <b/>
      <sz val="12"/>
      <color rgb="FF0005C0"/>
      <name val="Calibri"/>
      <family val="2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0"/>
      <name val="Arial Black"/>
      <family val="2"/>
    </font>
    <font>
      <sz val="18"/>
      <color theme="1"/>
      <name val="Arial Black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002060"/>
        <bgColor rgb="FF293D68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6" tint="0.79998168889431442"/>
        <bgColor rgb="FFFFFF99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9" fontId="12" fillId="0" borderId="0" applyFont="0" applyFill="0" applyBorder="0" applyAlignment="0" applyProtection="0"/>
  </cellStyleXfs>
  <cellXfs count="42">
    <xf numFmtId="0" fontId="0" fillId="0" borderId="0" xfId="0"/>
    <xf numFmtId="0" fontId="1" fillId="0" borderId="0" xfId="1"/>
    <xf numFmtId="0" fontId="2" fillId="0" borderId="1" xfId="1" applyFont="1" applyBorder="1"/>
    <xf numFmtId="0" fontId="3" fillId="0" borderId="1" xfId="1" applyFont="1" applyBorder="1"/>
    <xf numFmtId="0" fontId="4" fillId="0" borderId="0" xfId="1" applyFont="1"/>
    <xf numFmtId="0" fontId="6" fillId="0" borderId="0" xfId="1" applyFont="1"/>
    <xf numFmtId="164" fontId="7" fillId="2" borderId="0" xfId="1" applyNumberFormat="1" applyFont="1" applyFill="1"/>
    <xf numFmtId="165" fontId="6" fillId="0" borderId="0" xfId="1" applyNumberFormat="1" applyFont="1"/>
    <xf numFmtId="166" fontId="6" fillId="0" borderId="0" xfId="1" applyNumberFormat="1" applyFont="1"/>
    <xf numFmtId="0" fontId="3" fillId="0" borderId="2" xfId="1" applyFont="1" applyBorder="1"/>
    <xf numFmtId="164" fontId="3" fillId="0" borderId="2" xfId="1" applyNumberFormat="1" applyFont="1" applyBorder="1"/>
    <xf numFmtId="9" fontId="6" fillId="0" borderId="0" xfId="1" applyNumberFormat="1" applyFont="1"/>
    <xf numFmtId="0" fontId="3" fillId="0" borderId="0" xfId="1" applyFont="1"/>
    <xf numFmtId="164" fontId="3" fillId="0" borderId="0" xfId="1" applyNumberFormat="1" applyFont="1"/>
    <xf numFmtId="0" fontId="3" fillId="0" borderId="0" xfId="1" applyFont="1" applyAlignment="1">
      <alignment horizontal="right"/>
    </xf>
    <xf numFmtId="9" fontId="8" fillId="0" borderId="3" xfId="1" applyNumberFormat="1" applyFont="1" applyBorder="1" applyAlignment="1">
      <alignment horizontal="center"/>
    </xf>
    <xf numFmtId="0" fontId="6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3" fontId="8" fillId="0" borderId="3" xfId="1" applyNumberFormat="1" applyFont="1" applyBorder="1" applyAlignment="1">
      <alignment horizontal="center"/>
    </xf>
    <xf numFmtId="0" fontId="9" fillId="0" borderId="0" xfId="1" applyFont="1"/>
    <xf numFmtId="3" fontId="3" fillId="0" borderId="0" xfId="1" applyNumberFormat="1" applyFont="1" applyAlignment="1">
      <alignment horizontal="center"/>
    </xf>
    <xf numFmtId="37" fontId="3" fillId="0" borderId="0" xfId="1" applyNumberFormat="1" applyFont="1" applyAlignment="1">
      <alignment horizontal="center"/>
    </xf>
    <xf numFmtId="37" fontId="10" fillId="0" borderId="0" xfId="1" applyNumberFormat="1" applyFont="1" applyAlignment="1">
      <alignment horizontal="center"/>
    </xf>
    <xf numFmtId="167" fontId="3" fillId="0" borderId="0" xfId="1" applyNumberFormat="1" applyFont="1" applyAlignment="1">
      <alignment horizontal="center"/>
    </xf>
    <xf numFmtId="0" fontId="3" fillId="4" borderId="1" xfId="1" applyFont="1" applyFill="1" applyBorder="1" applyAlignment="1">
      <alignment horizontal="center"/>
    </xf>
    <xf numFmtId="10" fontId="3" fillId="5" borderId="3" xfId="1" applyNumberFormat="1" applyFont="1" applyFill="1" applyBorder="1" applyAlignment="1">
      <alignment horizontal="center"/>
    </xf>
    <xf numFmtId="168" fontId="3" fillId="0" borderId="0" xfId="1" applyNumberFormat="1" applyFont="1"/>
    <xf numFmtId="164" fontId="3" fillId="0" borderId="4" xfId="1" applyNumberFormat="1" applyFont="1" applyBorder="1"/>
    <xf numFmtId="43" fontId="1" fillId="0" borderId="0" xfId="1" applyNumberFormat="1"/>
    <xf numFmtId="37" fontId="3" fillId="5" borderId="3" xfId="1" applyNumberFormat="1" applyFont="1" applyFill="1" applyBorder="1"/>
    <xf numFmtId="10" fontId="8" fillId="0" borderId="3" xfId="1" applyNumberFormat="1" applyFont="1" applyBorder="1" applyAlignment="1">
      <alignment horizontal="center"/>
    </xf>
    <xf numFmtId="10" fontId="3" fillId="0" borderId="0" xfId="2" applyNumberFormat="1" applyFont="1" applyBorder="1"/>
    <xf numFmtId="169" fontId="3" fillId="5" borderId="3" xfId="1" applyNumberFormat="1" applyFont="1" applyFill="1" applyBorder="1" applyAlignment="1">
      <alignment horizontal="center"/>
    </xf>
    <xf numFmtId="170" fontId="3" fillId="5" borderId="3" xfId="1" applyNumberFormat="1" applyFont="1" applyFill="1" applyBorder="1" applyAlignment="1">
      <alignment horizontal="center"/>
    </xf>
    <xf numFmtId="9" fontId="8" fillId="0" borderId="5" xfId="1" applyNumberFormat="1" applyFont="1" applyBorder="1" applyAlignment="1">
      <alignment horizontal="center"/>
    </xf>
    <xf numFmtId="3" fontId="8" fillId="0" borderId="0" xfId="1" applyNumberFormat="1" applyFont="1" applyAlignment="1">
      <alignment horizontal="center"/>
    </xf>
    <xf numFmtId="3" fontId="8" fillId="0" borderId="6" xfId="1" applyNumberFormat="1" applyFont="1" applyBorder="1" applyAlignment="1">
      <alignment horizontal="center"/>
    </xf>
    <xf numFmtId="0" fontId="5" fillId="0" borderId="0" xfId="1" applyFont="1" applyAlignment="1">
      <alignment horizontal="center"/>
    </xf>
    <xf numFmtId="0" fontId="3" fillId="6" borderId="0" xfId="1" applyFont="1" applyFill="1" applyAlignment="1">
      <alignment horizontal="right"/>
    </xf>
    <xf numFmtId="0" fontId="1" fillId="6" borderId="0" xfId="1" applyFill="1"/>
    <xf numFmtId="0" fontId="14" fillId="6" borderId="0" xfId="0" applyFont="1" applyFill="1"/>
    <xf numFmtId="0" fontId="13" fillId="3" borderId="0" xfId="1" applyFont="1" applyFill="1" applyAlignment="1">
      <alignment horizontal="center"/>
    </xf>
  </cellXfs>
  <cellStyles count="3">
    <cellStyle name="Normal" xfId="0" builtinId="0"/>
    <cellStyle name="Normal 2" xfId="1" xr:uid="{8215EEBC-2D73-4C51-9428-1A518371B406}"/>
    <cellStyle name="Percent" xfId="2" builtinId="5"/>
  </cellStyles>
  <dxfs count="3"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0005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D88B0-C244-4740-A4EB-0FF36B7B7D52}">
  <dimension ref="A1:Z70"/>
  <sheetViews>
    <sheetView showGridLines="0" tabSelected="1" topLeftCell="A24" zoomScale="68" zoomScaleNormal="85" workbookViewId="0">
      <selection activeCell="B30" sqref="B30:H30"/>
    </sheetView>
  </sheetViews>
  <sheetFormatPr defaultColWidth="12.26953125" defaultRowHeight="15" customHeight="1" x14ac:dyDescent="0.4"/>
  <cols>
    <col min="1" max="1" width="11.54296875" style="1" customWidth="1"/>
    <col min="2" max="2" width="25.08984375" style="1" customWidth="1"/>
    <col min="3" max="3" width="13.08984375" style="1" customWidth="1"/>
    <col min="4" max="4" width="12.08984375" style="1" customWidth="1"/>
    <col min="5" max="8" width="11.54296875" style="1" customWidth="1"/>
    <col min="9" max="9" width="11.7265625" style="1" customWidth="1"/>
    <col min="10" max="10" width="11.54296875" style="1" customWidth="1"/>
    <col min="11" max="11" width="5" style="1" customWidth="1"/>
    <col min="12" max="13" width="11.54296875" style="1" customWidth="1"/>
    <col min="14" max="14" width="13.90625" style="1" customWidth="1"/>
    <col min="15" max="15" width="11.90625" style="1" bestFit="1" customWidth="1"/>
    <col min="16" max="16" width="13.6328125" style="1" customWidth="1"/>
    <col min="17" max="26" width="11.54296875" style="1" customWidth="1"/>
    <col min="27" max="16384" width="12.26953125" style="1"/>
  </cols>
  <sheetData>
    <row r="1" spans="1:26" ht="16" x14ac:dyDescent="0.4">
      <c r="C1" s="1" t="s">
        <v>0</v>
      </c>
    </row>
    <row r="2" spans="1:26" ht="31" x14ac:dyDescent="0.7">
      <c r="B2" s="2" t="s">
        <v>1</v>
      </c>
      <c r="C2" s="3"/>
      <c r="D2" s="3"/>
      <c r="E2" s="3"/>
      <c r="F2" s="3"/>
      <c r="G2" s="3"/>
      <c r="H2" s="3"/>
    </row>
    <row r="3" spans="1:26" ht="28" x14ac:dyDescent="0.8">
      <c r="B3" s="40" t="s">
        <v>33</v>
      </c>
      <c r="C3" s="39"/>
      <c r="D3" s="39"/>
    </row>
    <row r="4" spans="1:26" ht="18.5" x14ac:dyDescent="0.45">
      <c r="B4" s="4"/>
    </row>
    <row r="5" spans="1:26" ht="16" x14ac:dyDescent="0.4">
      <c r="B5" s="14" t="s">
        <v>10</v>
      </c>
      <c r="C5" s="18">
        <v>2600000</v>
      </c>
    </row>
    <row r="6" spans="1:26" ht="16" x14ac:dyDescent="0.4">
      <c r="B6" s="14" t="s">
        <v>9</v>
      </c>
      <c r="C6" s="15">
        <v>0.08</v>
      </c>
    </row>
    <row r="7" spans="1:26" ht="18" x14ac:dyDescent="0.5">
      <c r="B7" s="41" t="s">
        <v>30</v>
      </c>
      <c r="C7" s="41"/>
      <c r="D7" s="41"/>
      <c r="E7" s="41"/>
      <c r="F7" s="41"/>
      <c r="G7" s="41"/>
      <c r="H7" s="41"/>
      <c r="I7" s="41"/>
      <c r="J7" s="41"/>
      <c r="M7" s="20" t="s">
        <v>17</v>
      </c>
      <c r="N7" s="20" t="s">
        <v>18</v>
      </c>
      <c r="O7" s="20" t="s">
        <v>19</v>
      </c>
    </row>
    <row r="8" spans="1:26" ht="16" x14ac:dyDescent="0.4">
      <c r="A8" s="5"/>
      <c r="B8" s="24" t="s">
        <v>2</v>
      </c>
      <c r="C8" s="24">
        <v>0</v>
      </c>
      <c r="D8" s="24">
        <v>1</v>
      </c>
      <c r="E8" s="24">
        <v>2</v>
      </c>
      <c r="F8" s="24">
        <v>3</v>
      </c>
      <c r="G8" s="24">
        <v>4</v>
      </c>
      <c r="H8" s="24">
        <v>5</v>
      </c>
      <c r="I8" s="24">
        <v>6</v>
      </c>
      <c r="J8" s="24">
        <v>7</v>
      </c>
      <c r="K8" s="5"/>
      <c r="L8" s="26">
        <v>1</v>
      </c>
      <c r="M8" s="13">
        <f>D12</f>
        <v>800000</v>
      </c>
      <c r="N8" s="31">
        <f>$C$15</f>
        <v>0.1</v>
      </c>
      <c r="O8" s="13">
        <f>M8/(1+N8)^L8</f>
        <v>727272.72727272718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16" x14ac:dyDescent="0.4">
      <c r="A9" s="5"/>
      <c r="B9" s="1" t="s">
        <v>11</v>
      </c>
      <c r="C9" s="17"/>
      <c r="D9" s="20">
        <f>C5</f>
        <v>2600000</v>
      </c>
      <c r="E9" s="20">
        <f>D9+(D9*$C$6)</f>
        <v>2808000</v>
      </c>
      <c r="F9" s="20">
        <f t="shared" ref="F9:J9" si="0">E9+(E9*$C$6)</f>
        <v>3032640</v>
      </c>
      <c r="G9" s="20">
        <f t="shared" si="0"/>
        <v>3275251.2</v>
      </c>
      <c r="H9" s="20">
        <f t="shared" si="0"/>
        <v>3537271.2960000001</v>
      </c>
      <c r="I9" s="20">
        <f t="shared" si="0"/>
        <v>3820252.9996800004</v>
      </c>
      <c r="J9" s="20">
        <f t="shared" si="0"/>
        <v>4125873.2396544004</v>
      </c>
      <c r="K9" s="5"/>
      <c r="L9" s="26">
        <v>2</v>
      </c>
      <c r="M9" s="13">
        <f>E12</f>
        <v>904000</v>
      </c>
      <c r="N9" s="31">
        <f t="shared" ref="N9:N14" si="1">$C$15</f>
        <v>0.1</v>
      </c>
      <c r="O9" s="13">
        <f t="shared" ref="O9:O13" si="2">M9/(1+N9)^L9</f>
        <v>747107.43801652885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6" x14ac:dyDescent="0.4">
      <c r="A10" s="5"/>
      <c r="B10" s="19" t="s">
        <v>12</v>
      </c>
      <c r="C10" s="17"/>
      <c r="D10" s="21">
        <f>-D9*0.5</f>
        <v>-1300000</v>
      </c>
      <c r="E10" s="21">
        <f t="shared" ref="E10:J10" si="3">-E9*0.5</f>
        <v>-1404000</v>
      </c>
      <c r="F10" s="21">
        <f t="shared" si="3"/>
        <v>-1516320</v>
      </c>
      <c r="G10" s="21">
        <f t="shared" si="3"/>
        <v>-1637625.6</v>
      </c>
      <c r="H10" s="21">
        <f t="shared" si="3"/>
        <v>-1768635.648</v>
      </c>
      <c r="I10" s="21">
        <f t="shared" si="3"/>
        <v>-1910126.4998400002</v>
      </c>
      <c r="J10" s="21">
        <f t="shared" si="3"/>
        <v>-2062936.6198272002</v>
      </c>
      <c r="K10" s="5"/>
      <c r="L10" s="26">
        <v>3</v>
      </c>
      <c r="M10" s="13">
        <f>F12</f>
        <v>1016320</v>
      </c>
      <c r="N10" s="31">
        <f t="shared" si="1"/>
        <v>0.1</v>
      </c>
      <c r="O10" s="13">
        <f t="shared" si="2"/>
        <v>763576.25845229125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6" x14ac:dyDescent="0.4">
      <c r="B11" s="1" t="s">
        <v>13</v>
      </c>
      <c r="C11" s="6"/>
      <c r="D11" s="22">
        <v>-500000</v>
      </c>
      <c r="E11" s="22">
        <v>-500000</v>
      </c>
      <c r="F11" s="22">
        <v>-500000</v>
      </c>
      <c r="G11" s="22">
        <v>-500000</v>
      </c>
      <c r="H11" s="22">
        <v>-500000</v>
      </c>
      <c r="I11" s="22">
        <v>-500000</v>
      </c>
      <c r="J11" s="22">
        <v>-500000</v>
      </c>
      <c r="L11" s="26">
        <v>4</v>
      </c>
      <c r="M11" s="13">
        <f>G12</f>
        <v>1137625.6000000001</v>
      </c>
      <c r="N11" s="31">
        <f t="shared" si="1"/>
        <v>0.1</v>
      </c>
      <c r="O11" s="13">
        <f t="shared" si="2"/>
        <v>777013.59196776163</v>
      </c>
      <c r="Q11" s="7"/>
    </row>
    <row r="12" spans="1:26" ht="16" x14ac:dyDescent="0.4">
      <c r="B12" s="9" t="s">
        <v>3</v>
      </c>
      <c r="C12" s="10">
        <v>-5000000</v>
      </c>
      <c r="D12" s="10">
        <f>SUM(D9:D11)</f>
        <v>800000</v>
      </c>
      <c r="E12" s="10">
        <f t="shared" ref="E12:J12" si="4">SUM(E9:E11)</f>
        <v>904000</v>
      </c>
      <c r="F12" s="10">
        <f t="shared" si="4"/>
        <v>1016320</v>
      </c>
      <c r="G12" s="10">
        <f t="shared" si="4"/>
        <v>1137625.6000000001</v>
      </c>
      <c r="H12" s="10">
        <f t="shared" si="4"/>
        <v>1268635.648</v>
      </c>
      <c r="I12" s="10">
        <f t="shared" si="4"/>
        <v>1410126.4998400002</v>
      </c>
      <c r="J12" s="10">
        <f t="shared" si="4"/>
        <v>1562936.6198272002</v>
      </c>
      <c r="L12" s="26">
        <v>5</v>
      </c>
      <c r="M12" s="13">
        <f>H12</f>
        <v>1268635.648</v>
      </c>
      <c r="N12" s="31">
        <f t="shared" si="1"/>
        <v>0.1</v>
      </c>
      <c r="O12" s="13">
        <f t="shared" si="2"/>
        <v>787722.92503616842</v>
      </c>
      <c r="P12" s="8"/>
      <c r="Q12" s="7"/>
    </row>
    <row r="13" spans="1:26" ht="16" x14ac:dyDescent="0.4">
      <c r="B13" s="9" t="s">
        <v>4</v>
      </c>
      <c r="C13" s="10">
        <f>C12</f>
        <v>-5000000</v>
      </c>
      <c r="D13" s="10">
        <f>D12+C13</f>
        <v>-4200000</v>
      </c>
      <c r="E13" s="10">
        <f t="shared" ref="E13:J13" si="5">E12+D13</f>
        <v>-3296000</v>
      </c>
      <c r="F13" s="10">
        <f t="shared" si="5"/>
        <v>-2279680</v>
      </c>
      <c r="G13" s="10">
        <f t="shared" si="5"/>
        <v>-1142054.3999999999</v>
      </c>
      <c r="H13" s="10">
        <f t="shared" si="5"/>
        <v>126581.24800000014</v>
      </c>
      <c r="I13" s="10">
        <f t="shared" si="5"/>
        <v>1536707.7478400003</v>
      </c>
      <c r="J13" s="10">
        <f t="shared" si="5"/>
        <v>3099644.3676672005</v>
      </c>
      <c r="L13" s="26">
        <v>6</v>
      </c>
      <c r="M13" s="13">
        <f>I12</f>
        <v>1410126.4998400002</v>
      </c>
      <c r="N13" s="31">
        <f t="shared" si="1"/>
        <v>0.1</v>
      </c>
      <c r="O13" s="13">
        <f t="shared" si="2"/>
        <v>795979.64723766188</v>
      </c>
      <c r="P13" s="11"/>
      <c r="Q13" s="7"/>
    </row>
    <row r="14" spans="1:26" ht="16" x14ac:dyDescent="0.4">
      <c r="B14" s="12"/>
      <c r="C14" s="13"/>
      <c r="D14" s="13"/>
      <c r="E14" s="13"/>
      <c r="F14" s="13"/>
      <c r="H14" s="13"/>
      <c r="L14" s="26">
        <v>7</v>
      </c>
      <c r="M14" s="13">
        <f>J12</f>
        <v>1562936.6198272002</v>
      </c>
      <c r="N14" s="31">
        <f t="shared" si="1"/>
        <v>0.1</v>
      </c>
      <c r="O14" s="13">
        <f>M14/(1+N14)^L14</f>
        <v>802033.6147443871</v>
      </c>
      <c r="P14" s="8"/>
      <c r="Q14" s="7"/>
    </row>
    <row r="15" spans="1:26" ht="16" x14ac:dyDescent="0.4">
      <c r="B15" s="14" t="s">
        <v>5</v>
      </c>
      <c r="C15" s="30">
        <v>0.1</v>
      </c>
      <c r="D15" s="13"/>
      <c r="E15" s="13"/>
      <c r="F15" s="13"/>
      <c r="H15" s="13"/>
      <c r="N15" s="14" t="s">
        <v>20</v>
      </c>
      <c r="O15" s="27">
        <f>SUM(O8:O14)</f>
        <v>5400706.2027275264</v>
      </c>
      <c r="P15" s="8"/>
      <c r="Q15" s="7"/>
    </row>
    <row r="16" spans="1:26" ht="16" x14ac:dyDescent="0.4">
      <c r="C16" s="16"/>
      <c r="Q16" s="7"/>
    </row>
    <row r="17" spans="2:15" ht="16" x14ac:dyDescent="0.4">
      <c r="B17" s="14" t="s">
        <v>6</v>
      </c>
      <c r="C17" s="29">
        <f>SUM(O15,C12)</f>
        <v>400706.20272752643</v>
      </c>
      <c r="D17" s="28"/>
      <c r="E17" s="38" t="s">
        <v>21</v>
      </c>
      <c r="F17" s="38" t="s">
        <v>24</v>
      </c>
      <c r="G17" s="38" t="s">
        <v>22</v>
      </c>
      <c r="H17" s="38" t="s">
        <v>25</v>
      </c>
      <c r="I17" s="38" t="s">
        <v>23</v>
      </c>
      <c r="J17" s="38" t="str">
        <f>"NPV = 0"</f>
        <v>NPV = 0</v>
      </c>
    </row>
    <row r="18" spans="2:15" ht="9" customHeight="1" x14ac:dyDescent="0.4">
      <c r="B18" s="14"/>
      <c r="C18" s="17"/>
      <c r="E18" s="39"/>
      <c r="F18" s="39"/>
      <c r="G18" s="39"/>
      <c r="H18" s="39"/>
      <c r="I18" s="39"/>
      <c r="J18" s="39"/>
    </row>
    <row r="19" spans="2:15" ht="16" x14ac:dyDescent="0.4">
      <c r="B19" s="14" t="s">
        <v>7</v>
      </c>
      <c r="C19" s="25">
        <f>IRR(C12:J12)</f>
        <v>0.12126612613547194</v>
      </c>
      <c r="E19" s="38" t="s">
        <v>21</v>
      </c>
      <c r="F19" s="38" t="s">
        <v>26</v>
      </c>
      <c r="G19" s="38" t="s">
        <v>22</v>
      </c>
      <c r="H19" s="38" t="s">
        <v>27</v>
      </c>
      <c r="I19" s="38" t="s">
        <v>23</v>
      </c>
      <c r="J19" s="38" t="str">
        <f>"IRR = DR"</f>
        <v>IRR = DR</v>
      </c>
    </row>
    <row r="20" spans="2:15" ht="9" customHeight="1" x14ac:dyDescent="0.4">
      <c r="B20" s="14"/>
      <c r="C20" s="17"/>
      <c r="E20" s="39"/>
      <c r="F20" s="39"/>
      <c r="G20" s="39"/>
      <c r="H20" s="39"/>
      <c r="I20" s="39"/>
      <c r="J20" s="39"/>
    </row>
    <row r="21" spans="2:15" ht="16" x14ac:dyDescent="0.4">
      <c r="B21" s="14" t="s">
        <v>8</v>
      </c>
      <c r="C21" s="33" cm="1">
        <f t="array" ref="C21">IFERROR(MATCH(0, C13:J13, 1) + (ABS(INDEX(C13:J13, MATCH(0, C13:J13, 1))) / INDEX(C12:J12, MATCH(0, C13:J13, 1)+1 ))-1,"No Avail")</f>
        <v>4.9002225357615048</v>
      </c>
      <c r="E21" s="39"/>
      <c r="F21" s="39"/>
      <c r="G21" s="39"/>
      <c r="H21" s="39"/>
      <c r="I21" s="39"/>
      <c r="J21" s="39"/>
    </row>
    <row r="22" spans="2:15" ht="9.5" customHeight="1" x14ac:dyDescent="0.4">
      <c r="C22"/>
      <c r="E22" s="39"/>
      <c r="F22" s="39"/>
      <c r="G22" s="39"/>
      <c r="H22" s="39"/>
      <c r="I22" s="39"/>
      <c r="J22" s="39"/>
    </row>
    <row r="23" spans="2:15" ht="16" x14ac:dyDescent="0.4">
      <c r="B23" s="14" t="s">
        <v>14</v>
      </c>
      <c r="C23" s="32">
        <f>O15/ABS(C12)</f>
        <v>1.0801412405455053</v>
      </c>
      <c r="E23" s="38" t="s">
        <v>21</v>
      </c>
      <c r="F23" s="38" t="s">
        <v>28</v>
      </c>
      <c r="G23" s="38" t="s">
        <v>22</v>
      </c>
      <c r="H23" s="38" t="s">
        <v>29</v>
      </c>
      <c r="I23" s="38" t="s">
        <v>23</v>
      </c>
      <c r="J23" s="38" t="str">
        <f>"PI = 1"</f>
        <v>PI = 1</v>
      </c>
    </row>
    <row r="24" spans="2:15" ht="16" x14ac:dyDescent="0.4">
      <c r="B24" s="14"/>
      <c r="C24" s="23"/>
    </row>
    <row r="25" spans="2:15" ht="16" x14ac:dyDescent="0.4">
      <c r="B25" s="14"/>
      <c r="C25" s="23"/>
    </row>
    <row r="26" spans="2:15" ht="16" x14ac:dyDescent="0.4">
      <c r="B26" s="14"/>
      <c r="C26" s="23"/>
    </row>
    <row r="27" spans="2:15" ht="16" x14ac:dyDescent="0.4">
      <c r="B27" s="14"/>
      <c r="C27" s="35"/>
    </row>
    <row r="28" spans="2:15" ht="16" x14ac:dyDescent="0.4">
      <c r="B28" s="14" t="s">
        <v>10</v>
      </c>
      <c r="C28" s="18">
        <v>1600000</v>
      </c>
    </row>
    <row r="29" spans="2:15" ht="16" x14ac:dyDescent="0.4">
      <c r="B29" s="14" t="s">
        <v>9</v>
      </c>
      <c r="C29" s="15">
        <v>0.12</v>
      </c>
    </row>
    <row r="30" spans="2:15" ht="18" x14ac:dyDescent="0.5">
      <c r="B30" s="41" t="s">
        <v>31</v>
      </c>
      <c r="C30" s="41"/>
      <c r="D30" s="41"/>
      <c r="E30" s="41"/>
      <c r="F30" s="41"/>
      <c r="G30" s="41"/>
      <c r="H30" s="41"/>
      <c r="I30" s="37"/>
      <c r="J30" s="37"/>
      <c r="M30" s="20" t="s">
        <v>17</v>
      </c>
      <c r="N30" s="20" t="s">
        <v>18</v>
      </c>
      <c r="O30" s="20" t="s">
        <v>19</v>
      </c>
    </row>
    <row r="31" spans="2:15" ht="16" x14ac:dyDescent="0.4">
      <c r="B31" s="24" t="s">
        <v>2</v>
      </c>
      <c r="C31" s="24">
        <v>0</v>
      </c>
      <c r="D31" s="24">
        <v>1</v>
      </c>
      <c r="E31" s="24">
        <v>2</v>
      </c>
      <c r="F31" s="24">
        <v>3</v>
      </c>
      <c r="G31" s="24">
        <v>4</v>
      </c>
      <c r="H31" s="24">
        <v>5</v>
      </c>
      <c r="I31" s="17"/>
      <c r="J31" s="17"/>
      <c r="K31" s="5"/>
      <c r="L31" s="26">
        <v>1</v>
      </c>
      <c r="M31" s="13">
        <f>D35</f>
        <v>419999.99999999988</v>
      </c>
      <c r="N31" s="31">
        <f>$C$15</f>
        <v>0.1</v>
      </c>
      <c r="O31" s="13">
        <f>M31/(1+N31)^L31</f>
        <v>381818.18181818171</v>
      </c>
    </row>
    <row r="32" spans="2:15" ht="16" x14ac:dyDescent="0.4">
      <c r="B32" s="1" t="s">
        <v>11</v>
      </c>
      <c r="C32" s="17"/>
      <c r="D32" s="20">
        <f>C28</f>
        <v>1600000</v>
      </c>
      <c r="E32" s="20">
        <f>D32+(D32*$C$29)</f>
        <v>1792000</v>
      </c>
      <c r="F32" s="20">
        <f t="shared" ref="F32:G32" si="6">E32+(E32*$C$29)</f>
        <v>2007040</v>
      </c>
      <c r="G32" s="20">
        <f t="shared" si="6"/>
        <v>2247884.7999999998</v>
      </c>
      <c r="H32" s="20">
        <f>G32+(G32*$C$29)</f>
        <v>2517630.9759999998</v>
      </c>
      <c r="I32" s="20"/>
      <c r="J32" s="20"/>
      <c r="K32" s="5"/>
      <c r="L32" s="26">
        <v>2</v>
      </c>
      <c r="M32" s="13">
        <f>E35</f>
        <v>506399.99999999988</v>
      </c>
      <c r="N32" s="31">
        <f t="shared" ref="N32:N35" si="7">$C$15</f>
        <v>0.1</v>
      </c>
      <c r="O32" s="13">
        <f t="shared" ref="O32:O35" si="8">M32/(1+N32)^L32</f>
        <v>418512.39669421472</v>
      </c>
    </row>
    <row r="33" spans="2:15" ht="15" customHeight="1" x14ac:dyDescent="0.4">
      <c r="B33" s="19" t="s">
        <v>15</v>
      </c>
      <c r="C33" s="17"/>
      <c r="D33" s="21">
        <f>-D32*0.55</f>
        <v>-880000.00000000012</v>
      </c>
      <c r="E33" s="21">
        <f t="shared" ref="E33:H33" si="9">-E32*0.55</f>
        <v>-985600.00000000012</v>
      </c>
      <c r="F33" s="21">
        <f t="shared" si="9"/>
        <v>-1103872</v>
      </c>
      <c r="G33" s="21">
        <f t="shared" si="9"/>
        <v>-1236336.6399999999</v>
      </c>
      <c r="H33" s="21">
        <f t="shared" si="9"/>
        <v>-1384697.0367999999</v>
      </c>
      <c r="I33" s="21"/>
      <c r="J33" s="21"/>
      <c r="K33" s="5"/>
      <c r="L33" s="26">
        <v>3</v>
      </c>
      <c r="M33" s="13">
        <f>F35</f>
        <v>603168</v>
      </c>
      <c r="N33" s="31">
        <f t="shared" si="7"/>
        <v>0.1</v>
      </c>
      <c r="O33" s="13">
        <f t="shared" si="8"/>
        <v>453169.0458302027</v>
      </c>
    </row>
    <row r="34" spans="2:15" ht="16" x14ac:dyDescent="0.4">
      <c r="B34" s="1" t="s">
        <v>13</v>
      </c>
      <c r="C34" s="6"/>
      <c r="D34" s="22">
        <v>-300000</v>
      </c>
      <c r="E34" s="22">
        <v>-300000</v>
      </c>
      <c r="F34" s="22">
        <v>-300000</v>
      </c>
      <c r="G34" s="22">
        <v>-300000</v>
      </c>
      <c r="H34" s="22">
        <v>-300000</v>
      </c>
      <c r="I34" s="22"/>
      <c r="J34" s="22"/>
      <c r="L34" s="26">
        <v>4</v>
      </c>
      <c r="M34" s="13">
        <f>G35</f>
        <v>711548.15999999992</v>
      </c>
      <c r="N34" s="31">
        <f t="shared" si="7"/>
        <v>0.1</v>
      </c>
      <c r="O34" s="13">
        <f t="shared" si="8"/>
        <v>485996.96742025798</v>
      </c>
    </row>
    <row r="35" spans="2:15" ht="16" x14ac:dyDescent="0.4">
      <c r="B35" s="9" t="s">
        <v>3</v>
      </c>
      <c r="C35" s="10">
        <v>-2500000</v>
      </c>
      <c r="D35" s="10">
        <f>SUM(D32:D34)</f>
        <v>419999.99999999988</v>
      </c>
      <c r="E35" s="10">
        <f t="shared" ref="E35:H35" si="10">SUM(E32:E34)</f>
        <v>506399.99999999988</v>
      </c>
      <c r="F35" s="10">
        <f t="shared" si="10"/>
        <v>603168</v>
      </c>
      <c r="G35" s="10">
        <f t="shared" si="10"/>
        <v>711548.15999999992</v>
      </c>
      <c r="H35" s="10">
        <f t="shared" si="10"/>
        <v>832933.93919999991</v>
      </c>
      <c r="I35" s="13"/>
      <c r="J35" s="13"/>
      <c r="L35" s="26">
        <v>5</v>
      </c>
      <c r="M35" s="13">
        <f>H35</f>
        <v>832933.93919999991</v>
      </c>
      <c r="N35" s="31">
        <f t="shared" si="7"/>
        <v>0.1</v>
      </c>
      <c r="O35" s="13">
        <f t="shared" si="8"/>
        <v>517186.44354893768</v>
      </c>
    </row>
    <row r="36" spans="2:15" ht="16" x14ac:dyDescent="0.4">
      <c r="B36" s="9" t="s">
        <v>4</v>
      </c>
      <c r="C36" s="10">
        <f>C35</f>
        <v>-2500000</v>
      </c>
      <c r="D36" s="10">
        <f>D35+C36</f>
        <v>-2080000</v>
      </c>
      <c r="E36" s="10">
        <f t="shared" ref="E36" si="11">E35+D36</f>
        <v>-1573600</v>
      </c>
      <c r="F36" s="10">
        <f t="shared" ref="F36" si="12">F35+E36</f>
        <v>-970432</v>
      </c>
      <c r="G36" s="10">
        <f t="shared" ref="G36" si="13">G35+F36</f>
        <v>-258883.84000000008</v>
      </c>
      <c r="H36" s="10">
        <f t="shared" ref="H36" si="14">H35+G36</f>
        <v>574050.09919999982</v>
      </c>
      <c r="I36" s="13"/>
      <c r="J36" s="13"/>
      <c r="L36" s="26"/>
      <c r="M36" s="13"/>
      <c r="N36" s="14" t="s">
        <v>20</v>
      </c>
      <c r="O36" s="27">
        <f>SUM(O31:O35)</f>
        <v>2256683.0353117948</v>
      </c>
    </row>
    <row r="37" spans="2:15" ht="18.5" customHeight="1" x14ac:dyDescent="0.4">
      <c r="B37" s="12"/>
      <c r="C37" s="13"/>
      <c r="D37" s="13"/>
      <c r="E37" s="13"/>
      <c r="F37" s="13"/>
      <c r="H37" s="13"/>
      <c r="L37" s="26"/>
      <c r="M37" s="13"/>
      <c r="N37" s="31"/>
      <c r="O37" s="13"/>
    </row>
    <row r="38" spans="2:15" ht="16" x14ac:dyDescent="0.4">
      <c r="B38" s="14" t="s">
        <v>5</v>
      </c>
      <c r="C38" s="30">
        <v>0.1</v>
      </c>
      <c r="D38" s="13"/>
      <c r="E38" s="13"/>
      <c r="F38" s="13"/>
      <c r="H38" s="13"/>
    </row>
    <row r="39" spans="2:15" ht="9" customHeight="1" x14ac:dyDescent="0.4">
      <c r="C39" s="16"/>
    </row>
    <row r="40" spans="2:15" ht="16" x14ac:dyDescent="0.4">
      <c r="B40" s="14" t="s">
        <v>6</v>
      </c>
      <c r="C40" s="29">
        <f>SUM(O36,C35)</f>
        <v>-243316.96468820516</v>
      </c>
      <c r="D40" s="28"/>
      <c r="E40" s="38" t="s">
        <v>21</v>
      </c>
      <c r="F40" s="38" t="s">
        <v>24</v>
      </c>
      <c r="G40" s="38" t="s">
        <v>22</v>
      </c>
      <c r="H40" s="38" t="s">
        <v>25</v>
      </c>
      <c r="I40" s="38" t="s">
        <v>23</v>
      </c>
      <c r="J40" s="38" t="str">
        <f>"NPV = 0"</f>
        <v>NPV = 0</v>
      </c>
    </row>
    <row r="41" spans="2:15" ht="16" x14ac:dyDescent="0.4">
      <c r="B41" s="14"/>
      <c r="C41" s="17"/>
      <c r="E41" s="39"/>
      <c r="F41" s="39"/>
      <c r="G41" s="39"/>
      <c r="H41" s="39"/>
      <c r="I41" s="39"/>
      <c r="J41" s="39"/>
    </row>
    <row r="42" spans="2:15" ht="15" customHeight="1" x14ac:dyDescent="0.4">
      <c r="B42" s="14" t="s">
        <v>7</v>
      </c>
      <c r="C42" s="25">
        <f>IRR(C35:H35)</f>
        <v>6.5161168255555513E-2</v>
      </c>
      <c r="E42" s="38" t="s">
        <v>21</v>
      </c>
      <c r="F42" s="38" t="s">
        <v>26</v>
      </c>
      <c r="G42" s="38" t="s">
        <v>22</v>
      </c>
      <c r="H42" s="38" t="s">
        <v>27</v>
      </c>
      <c r="I42" s="38" t="s">
        <v>23</v>
      </c>
      <c r="J42" s="38" t="str">
        <f>"IRR = DR"</f>
        <v>IRR = DR</v>
      </c>
    </row>
    <row r="43" spans="2:15" ht="15" customHeight="1" x14ac:dyDescent="0.4">
      <c r="B43" s="14"/>
      <c r="C43" s="17"/>
      <c r="E43" s="39"/>
      <c r="F43" s="39"/>
      <c r="G43" s="39"/>
      <c r="H43" s="39"/>
      <c r="I43" s="39"/>
      <c r="J43" s="39"/>
    </row>
    <row r="44" spans="2:15" ht="15" customHeight="1" x14ac:dyDescent="0.4">
      <c r="B44" s="14" t="s">
        <v>8</v>
      </c>
      <c r="C44" s="33" cm="1">
        <f t="array" ref="C44">IFERROR(MATCH(0, C36:H36, 1) + (ABS(INDEX(C36:H36, MATCH(0, C36:H36, 1))) / INDEX(C35:H35, MATCH(0, C36:H36, 1)+1 ))-1,"No Avail")</f>
        <v>4.3108095706229088</v>
      </c>
      <c r="E44" s="39"/>
      <c r="F44" s="39"/>
      <c r="G44" s="39"/>
      <c r="H44" s="39"/>
      <c r="I44" s="39"/>
      <c r="J44" s="39"/>
    </row>
    <row r="45" spans="2:15" ht="15" customHeight="1" x14ac:dyDescent="0.4">
      <c r="C45"/>
      <c r="E45" s="39"/>
      <c r="F45" s="39"/>
      <c r="G45" s="39"/>
      <c r="H45" s="39"/>
      <c r="I45" s="39"/>
      <c r="J45" s="39"/>
    </row>
    <row r="46" spans="2:15" ht="15" customHeight="1" x14ac:dyDescent="0.4">
      <c r="B46" s="14" t="s">
        <v>14</v>
      </c>
      <c r="C46" s="32">
        <f>O36/ABS(C35)</f>
        <v>0.9026732141247179</v>
      </c>
      <c r="E46" s="38" t="s">
        <v>21</v>
      </c>
      <c r="F46" s="38" t="s">
        <v>28</v>
      </c>
      <c r="G46" s="38" t="s">
        <v>22</v>
      </c>
      <c r="H46" s="38" t="s">
        <v>29</v>
      </c>
      <c r="I46" s="38" t="s">
        <v>23</v>
      </c>
      <c r="J46" s="38" t="str">
        <f>"PI = 1"</f>
        <v>PI = 1</v>
      </c>
    </row>
    <row r="47" spans="2:15" ht="15" customHeight="1" x14ac:dyDescent="0.4">
      <c r="B47" s="14"/>
      <c r="C47" s="23"/>
    </row>
    <row r="48" spans="2:15" ht="15" customHeight="1" x14ac:dyDescent="0.4">
      <c r="B48" s="14"/>
      <c r="C48" s="23"/>
    </row>
    <row r="49" spans="2:15" ht="15" customHeight="1" x14ac:dyDescent="0.4">
      <c r="B49" s="14"/>
      <c r="C49" s="23"/>
    </row>
    <row r="50" spans="2:15" ht="15" customHeight="1" x14ac:dyDescent="0.4">
      <c r="B50" s="14"/>
      <c r="C50" s="23"/>
    </row>
    <row r="51" spans="2:15" ht="15" customHeight="1" x14ac:dyDescent="0.4">
      <c r="B51" s="14"/>
      <c r="C51" s="35"/>
    </row>
    <row r="52" spans="2:15" ht="15" customHeight="1" x14ac:dyDescent="0.4">
      <c r="B52" s="14" t="s">
        <v>10</v>
      </c>
      <c r="C52" s="36">
        <v>1300000</v>
      </c>
    </row>
    <row r="53" spans="2:15" ht="15" customHeight="1" x14ac:dyDescent="0.4">
      <c r="B53" s="14" t="s">
        <v>9</v>
      </c>
      <c r="C53" s="34">
        <v>0.15</v>
      </c>
    </row>
    <row r="54" spans="2:15" ht="15" customHeight="1" x14ac:dyDescent="0.5">
      <c r="B54" s="41" t="s">
        <v>32</v>
      </c>
      <c r="C54" s="41"/>
      <c r="D54" s="41"/>
      <c r="E54" s="41"/>
      <c r="F54" s="41"/>
      <c r="G54" s="41"/>
      <c r="H54" s="37"/>
      <c r="I54" s="37"/>
      <c r="J54" s="37"/>
      <c r="M54" s="20" t="s">
        <v>17</v>
      </c>
      <c r="N54" s="20" t="s">
        <v>18</v>
      </c>
      <c r="O54" s="20" t="s">
        <v>19</v>
      </c>
    </row>
    <row r="55" spans="2:15" ht="15" customHeight="1" x14ac:dyDescent="0.4">
      <c r="B55" s="24" t="s">
        <v>2</v>
      </c>
      <c r="C55" s="24">
        <v>0</v>
      </c>
      <c r="D55" s="24">
        <v>1</v>
      </c>
      <c r="E55" s="24">
        <v>2</v>
      </c>
      <c r="F55" s="24">
        <v>3</v>
      </c>
      <c r="G55" s="24">
        <v>4</v>
      </c>
      <c r="H55" s="17"/>
      <c r="I55" s="17"/>
      <c r="J55" s="17"/>
      <c r="K55" s="5"/>
      <c r="L55" s="26">
        <v>1</v>
      </c>
      <c r="M55" s="13">
        <f>D59</f>
        <v>320000</v>
      </c>
      <c r="N55" s="31">
        <f>$C$15</f>
        <v>0.1</v>
      </c>
      <c r="O55" s="13">
        <f>M55/(1+N55)^L55</f>
        <v>290909.09090909088</v>
      </c>
    </row>
    <row r="56" spans="2:15" ht="15" customHeight="1" x14ac:dyDescent="0.4">
      <c r="B56" s="1" t="s">
        <v>11</v>
      </c>
      <c r="C56" s="17"/>
      <c r="D56" s="20">
        <f>C52</f>
        <v>1300000</v>
      </c>
      <c r="E56" s="20">
        <f>D56+(D56*$C$53)</f>
        <v>1495000</v>
      </c>
      <c r="F56" s="20">
        <f t="shared" ref="F56:G56" si="15">E56+(E56*$C$53)</f>
        <v>1719250</v>
      </c>
      <c r="G56" s="20">
        <f t="shared" si="15"/>
        <v>1977137.5</v>
      </c>
      <c r="H56" s="20"/>
      <c r="I56" s="20"/>
      <c r="J56" s="20"/>
      <c r="K56" s="5"/>
      <c r="L56" s="26">
        <v>2</v>
      </c>
      <c r="M56" s="13">
        <f>E59</f>
        <v>398000</v>
      </c>
      <c r="N56" s="31">
        <f t="shared" ref="N56:N58" si="16">$C$15</f>
        <v>0.1</v>
      </c>
      <c r="O56" s="13">
        <f t="shared" ref="O56:O58" si="17">M56/(1+N56)^L56</f>
        <v>328925.61983471067</v>
      </c>
    </row>
    <row r="57" spans="2:15" ht="15" customHeight="1" x14ac:dyDescent="0.4">
      <c r="B57" s="19" t="s">
        <v>16</v>
      </c>
      <c r="C57" s="17"/>
      <c r="D57" s="21">
        <f>-D56*0.6</f>
        <v>-780000</v>
      </c>
      <c r="E57" s="21">
        <f t="shared" ref="E57:G57" si="18">-E56*0.6</f>
        <v>-897000</v>
      </c>
      <c r="F57" s="21">
        <f t="shared" si="18"/>
        <v>-1031550</v>
      </c>
      <c r="G57" s="21">
        <f t="shared" si="18"/>
        <v>-1186282.5</v>
      </c>
      <c r="H57" s="21"/>
      <c r="I57" s="21"/>
      <c r="J57" s="21"/>
      <c r="K57" s="5"/>
      <c r="L57" s="26">
        <v>3</v>
      </c>
      <c r="M57" s="13">
        <f>F59</f>
        <v>487700</v>
      </c>
      <c r="N57" s="31">
        <f t="shared" si="16"/>
        <v>0.1</v>
      </c>
      <c r="O57" s="13">
        <f t="shared" si="17"/>
        <v>366416.22839969938</v>
      </c>
    </row>
    <row r="58" spans="2:15" ht="15" customHeight="1" x14ac:dyDescent="0.4">
      <c r="B58" s="1" t="s">
        <v>13</v>
      </c>
      <c r="C58" s="6"/>
      <c r="D58" s="22">
        <v>-200000</v>
      </c>
      <c r="E58" s="22">
        <v>-200000</v>
      </c>
      <c r="F58" s="22">
        <v>-200000</v>
      </c>
      <c r="G58" s="22">
        <v>-200000</v>
      </c>
      <c r="H58" s="22"/>
      <c r="I58" s="22"/>
      <c r="J58" s="22"/>
      <c r="L58" s="26">
        <v>4</v>
      </c>
      <c r="M58" s="13">
        <f>G59</f>
        <v>590855</v>
      </c>
      <c r="N58" s="31">
        <f t="shared" si="16"/>
        <v>0.1</v>
      </c>
      <c r="O58" s="13">
        <f t="shared" si="17"/>
        <v>403561.91516972875</v>
      </c>
    </row>
    <row r="59" spans="2:15" ht="15" customHeight="1" x14ac:dyDescent="0.4">
      <c r="B59" s="9" t="s">
        <v>3</v>
      </c>
      <c r="C59" s="10">
        <v>-1500000</v>
      </c>
      <c r="D59" s="10">
        <f>SUM(D56:D58)</f>
        <v>320000</v>
      </c>
      <c r="E59" s="10">
        <f t="shared" ref="E59:G59" si="19">SUM(E56:E58)</f>
        <v>398000</v>
      </c>
      <c r="F59" s="10">
        <f t="shared" si="19"/>
        <v>487700</v>
      </c>
      <c r="G59" s="10">
        <f t="shared" si="19"/>
        <v>590855</v>
      </c>
      <c r="H59" s="13"/>
      <c r="I59" s="13"/>
      <c r="J59" s="13"/>
      <c r="L59" s="26"/>
      <c r="M59" s="13"/>
      <c r="N59" s="14" t="s">
        <v>20</v>
      </c>
      <c r="O59" s="27">
        <f>SUM(O55:O58)</f>
        <v>1389812.8543132297</v>
      </c>
    </row>
    <row r="60" spans="2:15" ht="15" customHeight="1" x14ac:dyDescent="0.4">
      <c r="B60" s="9" t="s">
        <v>4</v>
      </c>
      <c r="C60" s="10">
        <f>C59</f>
        <v>-1500000</v>
      </c>
      <c r="D60" s="10">
        <f>D59+C60</f>
        <v>-1180000</v>
      </c>
      <c r="E60" s="10">
        <f t="shared" ref="E60" si="20">E59+D60</f>
        <v>-782000</v>
      </c>
      <c r="F60" s="10">
        <f t="shared" ref="F60" si="21">F59+E60</f>
        <v>-294300</v>
      </c>
      <c r="G60" s="10">
        <f t="shared" ref="G60" si="22">G59+F60</f>
        <v>296555</v>
      </c>
      <c r="H60" s="13"/>
      <c r="I60" s="13"/>
      <c r="J60" s="13"/>
      <c r="L60" s="26"/>
      <c r="M60" s="13"/>
      <c r="N60" s="31"/>
      <c r="O60" s="13"/>
    </row>
    <row r="61" spans="2:15" ht="15" customHeight="1" x14ac:dyDescent="0.4">
      <c r="B61" s="12"/>
      <c r="C61" s="13"/>
      <c r="D61" s="13"/>
      <c r="E61" s="13"/>
      <c r="F61" s="13"/>
      <c r="H61" s="13"/>
      <c r="L61" s="26"/>
      <c r="M61" s="13"/>
      <c r="N61" s="31"/>
      <c r="O61" s="13"/>
    </row>
    <row r="62" spans="2:15" ht="15" customHeight="1" x14ac:dyDescent="0.4">
      <c r="B62" s="14" t="s">
        <v>5</v>
      </c>
      <c r="C62" s="30">
        <v>0.1</v>
      </c>
      <c r="D62" s="13"/>
      <c r="E62" s="13"/>
      <c r="F62" s="13"/>
      <c r="H62" s="13"/>
    </row>
    <row r="63" spans="2:15" ht="15" customHeight="1" x14ac:dyDescent="0.4">
      <c r="C63" s="16"/>
    </row>
    <row r="64" spans="2:15" ht="15" customHeight="1" x14ac:dyDescent="0.4">
      <c r="B64" s="14" t="s">
        <v>6</v>
      </c>
      <c r="C64" s="29">
        <f>SUM(O59,C59)</f>
        <v>-110187.14568677032</v>
      </c>
      <c r="D64" s="28"/>
      <c r="E64" s="38" t="s">
        <v>21</v>
      </c>
      <c r="F64" s="38" t="s">
        <v>24</v>
      </c>
      <c r="G64" s="38" t="s">
        <v>22</v>
      </c>
      <c r="H64" s="38" t="s">
        <v>25</v>
      </c>
      <c r="I64" s="38" t="s">
        <v>23</v>
      </c>
      <c r="J64" s="38" t="str">
        <f>"NPV = 0"</f>
        <v>NPV = 0</v>
      </c>
    </row>
    <row r="65" spans="2:10" ht="15" customHeight="1" x14ac:dyDescent="0.4">
      <c r="B65" s="14"/>
      <c r="C65" s="17"/>
      <c r="E65" s="39"/>
      <c r="F65" s="39"/>
      <c r="G65" s="39"/>
      <c r="H65" s="39"/>
      <c r="I65" s="39"/>
      <c r="J65" s="39"/>
    </row>
    <row r="66" spans="2:10" ht="15" customHeight="1" x14ac:dyDescent="0.4">
      <c r="B66" s="14" t="s">
        <v>7</v>
      </c>
      <c r="C66" s="25">
        <f>IRR(C59:G59)</f>
        <v>6.8813342152956203E-2</v>
      </c>
      <c r="E66" s="38" t="s">
        <v>21</v>
      </c>
      <c r="F66" s="38" t="s">
        <v>26</v>
      </c>
      <c r="G66" s="38" t="s">
        <v>22</v>
      </c>
      <c r="H66" s="38" t="s">
        <v>27</v>
      </c>
      <c r="I66" s="38" t="s">
        <v>23</v>
      </c>
      <c r="J66" s="38" t="str">
        <f>"IRR = DR"</f>
        <v>IRR = DR</v>
      </c>
    </row>
    <row r="67" spans="2:10" ht="15" customHeight="1" x14ac:dyDescent="0.4">
      <c r="B67" s="14"/>
      <c r="C67" s="17"/>
      <c r="E67" s="39"/>
      <c r="F67" s="39"/>
      <c r="G67" s="39"/>
      <c r="H67" s="39"/>
      <c r="I67" s="39"/>
      <c r="J67" s="39"/>
    </row>
    <row r="68" spans="2:10" ht="15" customHeight="1" x14ac:dyDescent="0.4">
      <c r="B68" s="14" t="s">
        <v>8</v>
      </c>
      <c r="C68" s="33" cm="1">
        <f t="array" ref="C68">IFERROR(MATCH(0, C60:G60, 1) + (ABS(INDEX(C60:G60, MATCH(0, C60:G60, 1))) / INDEX(C59:G59, MATCH(0, C60:G60, 1)+1 ))-1,"No Avail")</f>
        <v>3.4980917483985072</v>
      </c>
      <c r="E68" s="39"/>
      <c r="F68" s="39"/>
      <c r="G68" s="39"/>
      <c r="H68" s="39"/>
      <c r="I68" s="39"/>
      <c r="J68" s="39"/>
    </row>
    <row r="69" spans="2:10" ht="15" customHeight="1" x14ac:dyDescent="0.4">
      <c r="C69"/>
      <c r="E69" s="39"/>
      <c r="F69" s="39"/>
      <c r="G69" s="39"/>
      <c r="H69" s="39"/>
      <c r="I69" s="39"/>
      <c r="J69" s="39"/>
    </row>
    <row r="70" spans="2:10" ht="15" customHeight="1" x14ac:dyDescent="0.4">
      <c r="B70" s="14" t="s">
        <v>14</v>
      </c>
      <c r="C70" s="32">
        <f>O59/ABS(C59)</f>
        <v>0.92654190287548643</v>
      </c>
      <c r="E70" s="38" t="s">
        <v>21</v>
      </c>
      <c r="F70" s="38" t="s">
        <v>28</v>
      </c>
      <c r="G70" s="38" t="s">
        <v>22</v>
      </c>
      <c r="H70" s="38" t="s">
        <v>29</v>
      </c>
      <c r="I70" s="38" t="s">
        <v>23</v>
      </c>
      <c r="J70" s="38" t="str">
        <f>"PI = 1"</f>
        <v>PI = 1</v>
      </c>
    </row>
  </sheetData>
  <mergeCells count="3">
    <mergeCell ref="B30:H30"/>
    <mergeCell ref="B54:G54"/>
    <mergeCell ref="B7:J7"/>
  </mergeCells>
  <phoneticPr fontId="11" type="noConversion"/>
  <conditionalFormatting sqref="C60:G60">
    <cfRule type="cellIs" dxfId="2" priority="4" operator="greaterThanOrEqual">
      <formula>0</formula>
    </cfRule>
  </conditionalFormatting>
  <conditionalFormatting sqref="C36:H36">
    <cfRule type="cellIs" dxfId="1" priority="8" operator="greaterThanOrEqual">
      <formula>0</formula>
    </cfRule>
  </conditionalFormatting>
  <conditionalFormatting sqref="C13:J13">
    <cfRule type="cellIs" dxfId="0" priority="12" operator="greaterThanOrEqual">
      <formula>0</formula>
    </cfRule>
  </conditionalFormatting>
  <pageMargins left="0.7" right="0.7" top="0.75" bottom="0.75" header="0" footer="0"/>
  <pageSetup orientation="landscape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" id="{801C0C78-6B49-46D8-8885-90789EA52AF7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C17</xm:sqref>
        </x14:conditionalFormatting>
        <x14:conditionalFormatting xmlns:xm="http://schemas.microsoft.com/office/excel/2006/main">
          <x14:cfRule type="iconSet" priority="10" id="{358246F2-DF4F-4D45-ACD1-47F591AE073B}">
            <x14:iconSet iconSet="3Symbols" custom="1">
              <x14:cfvo type="percent">
                <xm:f>0</xm:f>
              </x14:cfvo>
              <x14:cfvo type="num">
                <xm:f>$C$15</xm:f>
              </x14:cfvo>
              <x14:cfvo type="num" gte="0">
                <xm:f>$C$15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C19</xm:sqref>
        </x14:conditionalFormatting>
        <x14:conditionalFormatting xmlns:xm="http://schemas.microsoft.com/office/excel/2006/main">
          <x14:cfRule type="iconSet" priority="9" id="{AD9F25BF-685A-449B-ACFE-57B6491153E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C23</xm:sqref>
        </x14:conditionalFormatting>
        <x14:conditionalFormatting xmlns:xm="http://schemas.microsoft.com/office/excel/2006/main">
          <x14:cfRule type="iconSet" priority="7" id="{2D231B1C-C7AD-4A0A-8D44-4EDFF8188A23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C40</xm:sqref>
        </x14:conditionalFormatting>
        <x14:conditionalFormatting xmlns:xm="http://schemas.microsoft.com/office/excel/2006/main">
          <x14:cfRule type="iconSet" priority="6" id="{F1B8BC94-42A2-40AA-9C64-8117BD0ABE4E}">
            <x14:iconSet iconSet="3Symbols" custom="1">
              <x14:cfvo type="percent">
                <xm:f>0</xm:f>
              </x14:cfvo>
              <x14:cfvo type="num">
                <xm:f>$C$15</xm:f>
              </x14:cfvo>
              <x14:cfvo type="num" gte="0">
                <xm:f>$C$15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C42</xm:sqref>
        </x14:conditionalFormatting>
        <x14:conditionalFormatting xmlns:xm="http://schemas.microsoft.com/office/excel/2006/main">
          <x14:cfRule type="iconSet" priority="5" id="{F797F623-2541-4987-A5D8-1DEDE8FFE456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C46</xm:sqref>
        </x14:conditionalFormatting>
        <x14:conditionalFormatting xmlns:xm="http://schemas.microsoft.com/office/excel/2006/main">
          <x14:cfRule type="iconSet" priority="3" id="{CEC4ED8A-41FD-4D88-A6A7-8091E6674941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0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C64</xm:sqref>
        </x14:conditionalFormatting>
        <x14:conditionalFormatting xmlns:xm="http://schemas.microsoft.com/office/excel/2006/main">
          <x14:cfRule type="iconSet" priority="2" id="{8C5ADB2A-7A30-486C-BED8-5E02E6779B8B}">
            <x14:iconSet iconSet="3Symbols" custom="1">
              <x14:cfvo type="percent">
                <xm:f>0</xm:f>
              </x14:cfvo>
              <x14:cfvo type="num">
                <xm:f>$C$15</xm:f>
              </x14:cfvo>
              <x14:cfvo type="num" gte="0">
                <xm:f>$C$15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C66</xm:sqref>
        </x14:conditionalFormatting>
        <x14:conditionalFormatting xmlns:xm="http://schemas.microsoft.com/office/excel/2006/main">
          <x14:cfRule type="iconSet" priority="1" id="{0E1C1DBE-2485-4B09-BDF9-4408C6C70D89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 gte="0">
                <xm:f>1</xm:f>
              </x14:cfvo>
              <x14:cfIcon iconSet="3Symbols" iconId="0"/>
              <x14:cfIcon iconSet="3Symbols" iconId="0"/>
              <x14:cfIcon iconSet="3Symbols" iconId="2"/>
            </x14:iconSet>
          </x14:cfRule>
          <xm:sqref>C70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Budget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EAZI</dc:creator>
  <cp:lastModifiedBy>EAZI</cp:lastModifiedBy>
  <dcterms:created xsi:type="dcterms:W3CDTF">2026-04-04T15:51:17Z</dcterms:created>
  <dcterms:modified xsi:type="dcterms:W3CDTF">2026-04-09T04:15:51Z</dcterms:modified>
</cp:coreProperties>
</file>